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swargam\Documents\Oakland\2025_fall\GPU\Project\"/>
    </mc:Choice>
  </mc:AlternateContent>
  <xr:revisionPtr revIDLastSave="0" documentId="13_ncr:1_{2D51D8E0-31C1-4C14-BCCE-05967B62C9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ES-128" sheetId="1" r:id="rId1"/>
    <sheet name="AES-256" sheetId="3" r:id="rId2"/>
    <sheet name="Through_Pu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I24" i="1"/>
  <c r="G24" i="1"/>
  <c r="E24" i="1"/>
  <c r="I23" i="1"/>
  <c r="G23" i="1"/>
  <c r="E23" i="1"/>
  <c r="I22" i="1"/>
  <c r="G22" i="1"/>
  <c r="E22" i="1"/>
  <c r="I21" i="1"/>
  <c r="G21" i="1"/>
  <c r="E21" i="1"/>
  <c r="I20" i="1"/>
  <c r="G20" i="1"/>
  <c r="E20" i="1"/>
  <c r="I19" i="1"/>
  <c r="G19" i="1"/>
  <c r="E19" i="1"/>
  <c r="I18" i="1"/>
  <c r="G18" i="1"/>
  <c r="E18" i="1"/>
  <c r="I17" i="1"/>
  <c r="G17" i="1"/>
  <c r="E17" i="1"/>
  <c r="I16" i="1"/>
  <c r="G16" i="1"/>
  <c r="E16" i="1"/>
  <c r="I15" i="1"/>
  <c r="G15" i="1"/>
  <c r="E15" i="1"/>
  <c r="I14" i="1"/>
  <c r="G14" i="1"/>
  <c r="E14" i="1"/>
  <c r="I13" i="1"/>
  <c r="G13" i="1"/>
  <c r="E13" i="1"/>
  <c r="I12" i="1"/>
  <c r="G12" i="1"/>
  <c r="E12" i="1"/>
  <c r="I11" i="1"/>
  <c r="G11" i="1"/>
  <c r="E11" i="1"/>
  <c r="I10" i="1"/>
  <c r="G10" i="1"/>
  <c r="E10" i="1"/>
  <c r="I9" i="1"/>
  <c r="G9" i="1"/>
  <c r="E9" i="1"/>
  <c r="I8" i="1"/>
  <c r="G8" i="1"/>
  <c r="E8" i="1"/>
  <c r="I7" i="1"/>
  <c r="G7" i="1"/>
  <c r="E7" i="1"/>
  <c r="I6" i="1"/>
  <c r="G6" i="1"/>
  <c r="E6" i="1"/>
  <c r="I5" i="1"/>
  <c r="G5" i="1"/>
  <c r="E5" i="1"/>
  <c r="G4" i="1"/>
  <c r="E4" i="1"/>
</calcChain>
</file>

<file path=xl/sharedStrings.xml><?xml version="1.0" encoding="utf-8"?>
<sst xmlns="http://schemas.openxmlformats.org/spreadsheetml/2006/main" count="92" uniqueCount="52">
  <si>
    <t>Sequence execution(Time in ns)</t>
  </si>
  <si>
    <t>Cuda Basic implementation</t>
  </si>
  <si>
    <t>Cuda Stream Implementation 4</t>
  </si>
  <si>
    <t>Final Parallel Cuda Execution(Time in ns)</t>
  </si>
  <si>
    <t xml:space="preserve">GPU Speed </t>
  </si>
  <si>
    <t>Dataset/0Execute Time</t>
  </si>
  <si>
    <t>Dataset/1Execute Time</t>
  </si>
  <si>
    <t>Dataset/2Execute Time</t>
  </si>
  <si>
    <t>Dataset/3Execute Time</t>
  </si>
  <si>
    <t>Dataset/4Execute Time</t>
  </si>
  <si>
    <t>Dataset/5Execute Time</t>
  </si>
  <si>
    <t>Dataset/6Execute Time</t>
  </si>
  <si>
    <t>Dataset/7Execute Time</t>
  </si>
  <si>
    <t>Dataset/8Execute Time</t>
  </si>
  <si>
    <t>Dataset/9Execute Time</t>
  </si>
  <si>
    <t>Dataset/10Execute Time</t>
  </si>
  <si>
    <t>Dataset/11Execute Time</t>
  </si>
  <si>
    <t>Dataset/12Execute Time</t>
  </si>
  <si>
    <t>Dataset/13Execute Time</t>
  </si>
  <si>
    <t>Dataset/14Execute Time</t>
  </si>
  <si>
    <t>Dataset/15Execute Time</t>
  </si>
  <si>
    <t>Dataset/16Execute Time</t>
  </si>
  <si>
    <t>Dataset/17Execute Time</t>
  </si>
  <si>
    <t>Dataset/18Execute Time</t>
  </si>
  <si>
    <t>Dataset/19Execute Time</t>
  </si>
  <si>
    <t xml:space="preserve">Sequence </t>
  </si>
  <si>
    <t>AES 256 Cuda Final</t>
  </si>
  <si>
    <t>GPU_speed_up</t>
  </si>
  <si>
    <t>Dataset/0</t>
  </si>
  <si>
    <t xml:space="preserve"> Throughput</t>
  </si>
  <si>
    <t>Dataset/1</t>
  </si>
  <si>
    <t>Dataset/2</t>
  </si>
  <si>
    <t>Dataset/3</t>
  </si>
  <si>
    <t>Dataset/4</t>
  </si>
  <si>
    <t>Dataset/5</t>
  </si>
  <si>
    <t>Dataset/6</t>
  </si>
  <si>
    <t>Dataset/7</t>
  </si>
  <si>
    <t>Dataset/8</t>
  </si>
  <si>
    <t>Dataset/9</t>
  </si>
  <si>
    <t>Dataset/10</t>
  </si>
  <si>
    <t>Dataset/11</t>
  </si>
  <si>
    <t>Dataset/12</t>
  </si>
  <si>
    <t>Dataset/13</t>
  </si>
  <si>
    <t>Dataset/14</t>
  </si>
  <si>
    <t>Dataset/15</t>
  </si>
  <si>
    <t>Dataset/16</t>
  </si>
  <si>
    <t>Dataset/17</t>
  </si>
  <si>
    <t>Dataset/18</t>
  </si>
  <si>
    <t>Dataset/19</t>
  </si>
  <si>
    <t>Dataset/20</t>
  </si>
  <si>
    <t>256 Final Cuda GB/s</t>
  </si>
  <si>
    <t>128 Final Cuda GB/s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</si>
</sst>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3" borderId="8" xfId="0" applyFill="1" applyBorder="1"/>
    <xf numFmtId="0" fontId="0" fillId="3" borderId="9" xfId="0" applyFill="1" applyBorder="1"/>
    <xf numFmtId="0" fontId="2" fillId="3" borderId="9" xfId="0" applyFont="1" applyFill="1" applyBorder="1"/>
    <xf numFmtId="0" fontId="0" fillId="0" borderId="10" xfId="0" applyBorder="1"/>
    <xf numFmtId="0" fontId="0" fillId="0" borderId="11" xfId="0" applyBorder="1"/>
    <xf numFmtId="0" fontId="0" fillId="3" borderId="11" xfId="0" applyFill="1" applyBorder="1"/>
    <xf numFmtId="0" fontId="2" fillId="3" borderId="12" xfId="0" applyFont="1" applyFill="1" applyBorder="1"/>
    <xf numFmtId="0" fontId="0" fillId="0" borderId="9" xfId="0" applyBorder="1"/>
    <xf numFmtId="0" fontId="0" fillId="0" borderId="6" xfId="0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3" fillId="0" borderId="9" xfId="0" applyFont="1" applyBorder="1"/>
    <xf numFmtId="0" fontId="3" fillId="0" borderId="12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1" fontId="0" fillId="0" borderId="8" xfId="0" applyNumberFormat="1" applyBorder="1"/>
    <xf numFmtId="11" fontId="0" fillId="0" borderId="5" xfId="0" applyNumberFormat="1" applyBorder="1"/>
    <xf numFmtId="0" fontId="4" fillId="4" borderId="3" xfId="0" applyFont="1" applyFill="1" applyBorder="1"/>
    <xf numFmtId="0" fontId="0" fillId="4" borderId="1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4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24"/>
  <sheetViews>
    <sheetView tabSelected="1" workbookViewId="0">
      <selection activeCell="D31" sqref="D31"/>
    </sheetView>
  </sheetViews>
  <sheetFormatPr defaultRowHeight="14.5" x14ac:dyDescent="0.35"/>
  <cols>
    <col min="2" max="2" width="21.81640625" bestFit="1" customWidth="1"/>
    <col min="3" max="3" width="9.81640625" bestFit="1" customWidth="1"/>
    <col min="4" max="4" width="26.81640625" bestFit="1" customWidth="1"/>
    <col min="5" max="5" width="11.81640625" bestFit="1" customWidth="1"/>
    <col min="6" max="6" width="30.6328125" customWidth="1"/>
    <col min="7" max="7" width="19.90625" customWidth="1"/>
    <col min="8" max="8" width="39.36328125" customWidth="1"/>
    <col min="9" max="9" width="40.26953125" customWidth="1"/>
  </cols>
  <sheetData>
    <row r="3" spans="2:9" ht="15" thickBot="1" x14ac:dyDescent="0.4"/>
    <row r="4" spans="2:9" ht="16" thickBot="1" x14ac:dyDescent="0.4">
      <c r="B4" s="24" t="s">
        <v>0</v>
      </c>
      <c r="C4" s="25"/>
      <c r="D4" s="1" t="s">
        <v>1</v>
      </c>
      <c r="E4" s="2" t="str">
        <f>G4</f>
        <v xml:space="preserve">GPU Speed </v>
      </c>
      <c r="F4" s="1" t="s">
        <v>2</v>
      </c>
      <c r="G4" s="2" t="str">
        <f>I4</f>
        <v xml:space="preserve">GPU Speed </v>
      </c>
      <c r="H4" s="1" t="s">
        <v>3</v>
      </c>
      <c r="I4" s="3" t="s">
        <v>4</v>
      </c>
    </row>
    <row r="5" spans="2:9" x14ac:dyDescent="0.35">
      <c r="B5" s="4" t="s">
        <v>5</v>
      </c>
      <c r="C5" s="5">
        <v>9547</v>
      </c>
      <c r="D5" s="5">
        <v>174149</v>
      </c>
      <c r="E5" s="6">
        <f>C5/D5</f>
        <v>5.4820871782209485E-2</v>
      </c>
      <c r="F5" s="5">
        <v>183191</v>
      </c>
      <c r="G5" s="6">
        <f t="shared" ref="G5:G24" si="0">C5/F5</f>
        <v>5.2115005649840875E-2</v>
      </c>
      <c r="H5" s="5">
        <v>226853</v>
      </c>
      <c r="I5" s="7">
        <f t="shared" ref="I5:I24" si="1">C5/H5</f>
        <v>4.2084521694665707E-2</v>
      </c>
    </row>
    <row r="6" spans="2:9" x14ac:dyDescent="0.35">
      <c r="B6" s="8" t="s">
        <v>6</v>
      </c>
      <c r="C6" s="9">
        <v>6264</v>
      </c>
      <c r="D6" s="9">
        <v>225548</v>
      </c>
      <c r="E6" s="10">
        <f t="shared" ref="E6:E24" si="2">C6/D6</f>
        <v>2.7772358877046127E-2</v>
      </c>
      <c r="F6" s="9">
        <v>188656</v>
      </c>
      <c r="G6" s="10">
        <f t="shared" si="0"/>
        <v>3.3203290645407516E-2</v>
      </c>
      <c r="H6" s="9">
        <v>195230</v>
      </c>
      <c r="I6" s="11">
        <f t="shared" si="1"/>
        <v>3.208523280233571E-2</v>
      </c>
    </row>
    <row r="7" spans="2:9" x14ac:dyDescent="0.35">
      <c r="B7" s="8" t="s">
        <v>7</v>
      </c>
      <c r="C7" s="9">
        <v>6373</v>
      </c>
      <c r="D7" s="9">
        <v>170771</v>
      </c>
      <c r="E7" s="10">
        <f t="shared" si="2"/>
        <v>3.7318982731259991E-2</v>
      </c>
      <c r="F7" s="9">
        <v>181871</v>
      </c>
      <c r="G7" s="10">
        <f t="shared" si="0"/>
        <v>3.50413204963958E-2</v>
      </c>
      <c r="H7" s="9">
        <v>204681</v>
      </c>
      <c r="I7" s="11">
        <f t="shared" si="1"/>
        <v>3.1136255929959302E-2</v>
      </c>
    </row>
    <row r="8" spans="2:9" x14ac:dyDescent="0.35">
      <c r="B8" s="8" t="s">
        <v>8</v>
      </c>
      <c r="C8" s="9">
        <v>6513</v>
      </c>
      <c r="D8" s="9">
        <v>165697</v>
      </c>
      <c r="E8" s="10">
        <f t="shared" si="2"/>
        <v>3.9306686300898626E-2</v>
      </c>
      <c r="F8" s="9">
        <v>181800</v>
      </c>
      <c r="G8" s="10">
        <f t="shared" si="0"/>
        <v>3.5825082508250825E-2</v>
      </c>
      <c r="H8" s="9">
        <v>193026</v>
      </c>
      <c r="I8" s="11">
        <f t="shared" si="1"/>
        <v>3.3741568493363586E-2</v>
      </c>
    </row>
    <row r="9" spans="2:9" x14ac:dyDescent="0.35">
      <c r="B9" s="8" t="s">
        <v>9</v>
      </c>
      <c r="C9" s="9">
        <v>6065</v>
      </c>
      <c r="D9" s="9">
        <v>170033</v>
      </c>
      <c r="E9" s="10">
        <f t="shared" si="2"/>
        <v>3.5669546499797096E-2</v>
      </c>
      <c r="F9" s="9">
        <v>183976</v>
      </c>
      <c r="G9" s="10">
        <f t="shared" si="0"/>
        <v>3.2966256468234985E-2</v>
      </c>
      <c r="H9" s="9">
        <v>194593</v>
      </c>
      <c r="I9" s="11">
        <f t="shared" si="1"/>
        <v>3.1167616512413086E-2</v>
      </c>
    </row>
    <row r="10" spans="2:9" x14ac:dyDescent="0.35">
      <c r="B10" s="8" t="s">
        <v>10</v>
      </c>
      <c r="C10" s="9">
        <v>4923</v>
      </c>
      <c r="D10" s="9">
        <v>176461</v>
      </c>
      <c r="E10" s="10">
        <f t="shared" si="2"/>
        <v>2.789851581935952E-2</v>
      </c>
      <c r="F10" s="9">
        <v>208218</v>
      </c>
      <c r="G10" s="10">
        <f t="shared" si="0"/>
        <v>2.3643489035530069E-2</v>
      </c>
      <c r="H10" s="9">
        <v>227825</v>
      </c>
      <c r="I10" s="11">
        <f t="shared" si="1"/>
        <v>2.1608690881158785E-2</v>
      </c>
    </row>
    <row r="11" spans="2:9" x14ac:dyDescent="0.35">
      <c r="B11" s="8" t="s">
        <v>11</v>
      </c>
      <c r="C11" s="9">
        <v>9794</v>
      </c>
      <c r="D11" s="9">
        <v>172780</v>
      </c>
      <c r="E11" s="10">
        <f t="shared" si="2"/>
        <v>5.6684801481652967E-2</v>
      </c>
      <c r="F11" s="9">
        <v>212228</v>
      </c>
      <c r="G11" s="10">
        <f t="shared" si="0"/>
        <v>4.6148481821437319E-2</v>
      </c>
      <c r="H11" s="9">
        <v>205534</v>
      </c>
      <c r="I11" s="11">
        <f t="shared" si="1"/>
        <v>4.7651483452859383E-2</v>
      </c>
    </row>
    <row r="12" spans="2:9" x14ac:dyDescent="0.35">
      <c r="B12" s="8" t="s">
        <v>12</v>
      </c>
      <c r="C12" s="9">
        <v>5271</v>
      </c>
      <c r="D12" s="9">
        <v>183493</v>
      </c>
      <c r="E12" s="10">
        <f t="shared" si="2"/>
        <v>2.8725891450900036E-2</v>
      </c>
      <c r="F12" s="9">
        <v>296144</v>
      </c>
      <c r="G12" s="10">
        <f t="shared" si="0"/>
        <v>1.7798773569614783E-2</v>
      </c>
      <c r="H12" s="9">
        <v>192771</v>
      </c>
      <c r="I12" s="11">
        <f t="shared" si="1"/>
        <v>2.7343324462704453E-2</v>
      </c>
    </row>
    <row r="13" spans="2:9" x14ac:dyDescent="0.35">
      <c r="B13" s="8" t="s">
        <v>13</v>
      </c>
      <c r="C13" s="9">
        <v>4744</v>
      </c>
      <c r="D13" s="9">
        <v>210766</v>
      </c>
      <c r="E13" s="10">
        <f t="shared" si="2"/>
        <v>2.2508374215955133E-2</v>
      </c>
      <c r="F13" s="9">
        <v>293417</v>
      </c>
      <c r="G13" s="10">
        <f t="shared" si="0"/>
        <v>1.6168115685185249E-2</v>
      </c>
      <c r="H13" s="9">
        <v>200040</v>
      </c>
      <c r="I13" s="11">
        <f t="shared" si="1"/>
        <v>2.3715256948610278E-2</v>
      </c>
    </row>
    <row r="14" spans="2:9" x14ac:dyDescent="0.35">
      <c r="B14" s="8" t="s">
        <v>14</v>
      </c>
      <c r="C14" s="9">
        <v>20657</v>
      </c>
      <c r="D14" s="9">
        <v>271421</v>
      </c>
      <c r="E14" s="10">
        <f t="shared" si="2"/>
        <v>7.6106859822931902E-2</v>
      </c>
      <c r="F14" s="9">
        <v>351972</v>
      </c>
      <c r="G14" s="10">
        <f t="shared" si="0"/>
        <v>5.8689327560146831E-2</v>
      </c>
      <c r="H14" s="9">
        <v>204492</v>
      </c>
      <c r="I14" s="11">
        <f t="shared" si="1"/>
        <v>0.10101617667194805</v>
      </c>
    </row>
    <row r="15" spans="2:9" x14ac:dyDescent="0.35">
      <c r="B15" s="8" t="s">
        <v>15</v>
      </c>
      <c r="C15" s="9">
        <v>12201</v>
      </c>
      <c r="D15" s="9">
        <v>380532</v>
      </c>
      <c r="E15" s="10">
        <f t="shared" si="2"/>
        <v>3.2063006527703324E-2</v>
      </c>
      <c r="F15" s="9">
        <v>456647</v>
      </c>
      <c r="G15" s="10">
        <f t="shared" si="0"/>
        <v>2.6718668906179171E-2</v>
      </c>
      <c r="H15" s="9">
        <v>192116</v>
      </c>
      <c r="I15" s="11">
        <f t="shared" si="1"/>
        <v>6.3508505278061178E-2</v>
      </c>
    </row>
    <row r="16" spans="2:9" x14ac:dyDescent="0.35">
      <c r="B16" s="8" t="s">
        <v>16</v>
      </c>
      <c r="C16" s="9">
        <v>27753</v>
      </c>
      <c r="D16" s="9">
        <v>408128</v>
      </c>
      <c r="E16" s="10">
        <f t="shared" si="2"/>
        <v>6.8000725262662695E-2</v>
      </c>
      <c r="F16" s="9">
        <v>683254</v>
      </c>
      <c r="G16" s="10">
        <f t="shared" si="0"/>
        <v>4.0618862092281931E-2</v>
      </c>
      <c r="H16" s="9">
        <v>189611</v>
      </c>
      <c r="I16" s="11">
        <f t="shared" si="1"/>
        <v>0.14636809045888688</v>
      </c>
    </row>
    <row r="17" spans="2:9" x14ac:dyDescent="0.35">
      <c r="B17" s="8" t="s">
        <v>17</v>
      </c>
      <c r="C17" s="9">
        <v>29550</v>
      </c>
      <c r="D17" s="9">
        <v>402255</v>
      </c>
      <c r="E17" s="10">
        <f t="shared" si="2"/>
        <v>7.3460864377074248E-2</v>
      </c>
      <c r="F17" s="9">
        <v>998459</v>
      </c>
      <c r="G17" s="10">
        <f t="shared" si="0"/>
        <v>2.9595606830125222E-2</v>
      </c>
      <c r="H17" s="9">
        <v>203173</v>
      </c>
      <c r="I17" s="11">
        <f t="shared" si="1"/>
        <v>0.14544255388265173</v>
      </c>
    </row>
    <row r="18" spans="2:9" x14ac:dyDescent="0.35">
      <c r="B18" s="8" t="s">
        <v>18</v>
      </c>
      <c r="C18" s="9">
        <v>59392</v>
      </c>
      <c r="D18" s="9">
        <v>448501</v>
      </c>
      <c r="E18" s="10">
        <f t="shared" si="2"/>
        <v>0.13242333907839671</v>
      </c>
      <c r="F18" s="9">
        <v>995682</v>
      </c>
      <c r="G18" s="10">
        <f t="shared" si="0"/>
        <v>5.964956682957008E-2</v>
      </c>
      <c r="H18" s="9">
        <v>196304</v>
      </c>
      <c r="I18" s="11">
        <f t="shared" si="1"/>
        <v>0.30255114516260495</v>
      </c>
    </row>
    <row r="19" spans="2:9" x14ac:dyDescent="0.35">
      <c r="B19" s="8" t="s">
        <v>19</v>
      </c>
      <c r="C19" s="9">
        <v>109643</v>
      </c>
      <c r="D19" s="9">
        <v>511558</v>
      </c>
      <c r="E19" s="10">
        <f t="shared" si="2"/>
        <v>0.21433151275124229</v>
      </c>
      <c r="F19" s="9">
        <v>1004699</v>
      </c>
      <c r="G19" s="10">
        <f t="shared" si="0"/>
        <v>0.10913019720334149</v>
      </c>
      <c r="H19" s="9">
        <v>199611</v>
      </c>
      <c r="I19" s="11">
        <f t="shared" si="1"/>
        <v>0.54928335612766832</v>
      </c>
    </row>
    <row r="20" spans="2:9" ht="15.5" x14ac:dyDescent="0.35">
      <c r="B20" s="8" t="s">
        <v>20</v>
      </c>
      <c r="C20" s="9">
        <v>7225267</v>
      </c>
      <c r="D20" s="9">
        <v>14024849</v>
      </c>
      <c r="E20" s="10">
        <f t="shared" si="2"/>
        <v>0.51517609922217344</v>
      </c>
      <c r="F20" s="9">
        <v>29280234</v>
      </c>
      <c r="G20" s="10">
        <f t="shared" si="0"/>
        <v>0.24676261125508764</v>
      </c>
      <c r="H20" s="9">
        <v>322179</v>
      </c>
      <c r="I20" s="12">
        <f t="shared" si="1"/>
        <v>22.426250624652756</v>
      </c>
    </row>
    <row r="21" spans="2:9" ht="15.5" x14ac:dyDescent="0.35">
      <c r="B21" s="8" t="s">
        <v>21</v>
      </c>
      <c r="C21" s="9">
        <v>14108650</v>
      </c>
      <c r="D21" s="9">
        <v>42287596</v>
      </c>
      <c r="E21" s="10">
        <f t="shared" si="2"/>
        <v>0.33363565996988809</v>
      </c>
      <c r="F21" s="9">
        <v>58608358</v>
      </c>
      <c r="G21" s="10">
        <f t="shared" si="0"/>
        <v>0.24072761089809067</v>
      </c>
      <c r="H21" s="9">
        <v>442148</v>
      </c>
      <c r="I21" s="12">
        <f t="shared" si="1"/>
        <v>31.909338049702814</v>
      </c>
    </row>
    <row r="22" spans="2:9" ht="15.5" x14ac:dyDescent="0.35">
      <c r="B22" s="8" t="s">
        <v>22</v>
      </c>
      <c r="C22" s="9">
        <v>28395810</v>
      </c>
      <c r="D22" s="9">
        <v>144097243</v>
      </c>
      <c r="E22" s="10">
        <f t="shared" si="2"/>
        <v>0.1970600506215098</v>
      </c>
      <c r="F22" s="9">
        <v>5352984</v>
      </c>
      <c r="G22" s="10">
        <f t="shared" si="0"/>
        <v>5.3046693208871911</v>
      </c>
      <c r="H22" s="9">
        <v>616342</v>
      </c>
      <c r="I22" s="12">
        <f t="shared" si="1"/>
        <v>46.071515489776779</v>
      </c>
    </row>
    <row r="23" spans="2:9" ht="15.5" x14ac:dyDescent="0.35">
      <c r="B23" s="8" t="s">
        <v>23</v>
      </c>
      <c r="C23" s="9">
        <v>56266321</v>
      </c>
      <c r="D23" s="9">
        <v>498761244</v>
      </c>
      <c r="E23" s="10">
        <f t="shared" si="2"/>
        <v>0.11281213541924681</v>
      </c>
      <c r="F23" s="9">
        <v>10020871</v>
      </c>
      <c r="G23" s="10">
        <f t="shared" si="0"/>
        <v>5.6149132146297465</v>
      </c>
      <c r="H23" s="9">
        <v>905700</v>
      </c>
      <c r="I23" s="12">
        <f t="shared" si="1"/>
        <v>62.124678149497626</v>
      </c>
    </row>
    <row r="24" spans="2:9" ht="16" thickBot="1" x14ac:dyDescent="0.4">
      <c r="B24" s="13" t="s">
        <v>24</v>
      </c>
      <c r="C24" s="14">
        <v>111676274</v>
      </c>
      <c r="D24" s="14">
        <v>1415125239</v>
      </c>
      <c r="E24" s="15">
        <f t="shared" si="2"/>
        <v>7.8916177114412983E-2</v>
      </c>
      <c r="F24" s="14">
        <v>18092693</v>
      </c>
      <c r="G24" s="15">
        <f t="shared" si="0"/>
        <v>6.1724517184921011</v>
      </c>
      <c r="H24" s="14">
        <v>1561475</v>
      </c>
      <c r="I24" s="16">
        <f t="shared" si="1"/>
        <v>71.519732304391681</v>
      </c>
    </row>
  </sheetData>
  <mergeCells count="1"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61D5-A442-4CA2-BF35-7F0848FF08E9}">
  <dimension ref="B1:E22"/>
  <sheetViews>
    <sheetView workbookViewId="0">
      <selection activeCell="E36" sqref="E36"/>
    </sheetView>
  </sheetViews>
  <sheetFormatPr defaultRowHeight="14.5" x14ac:dyDescent="0.35"/>
  <cols>
    <col min="2" max="2" width="21.81640625" bestFit="1" customWidth="1"/>
    <col min="3" max="3" width="9.81640625" bestFit="1" customWidth="1"/>
    <col min="4" max="4" width="16.7265625" bestFit="1" customWidth="1"/>
    <col min="5" max="5" width="13.90625" bestFit="1" customWidth="1"/>
  </cols>
  <sheetData>
    <row r="1" spans="2:5" ht="15" thickBot="1" x14ac:dyDescent="0.4"/>
    <row r="2" spans="2:5" ht="15" thickBot="1" x14ac:dyDescent="0.4">
      <c r="B2" s="19" t="s">
        <v>25</v>
      </c>
      <c r="C2" s="20"/>
      <c r="D2" s="20" t="s">
        <v>26</v>
      </c>
      <c r="E2" s="21" t="s">
        <v>27</v>
      </c>
    </row>
    <row r="3" spans="2:5" x14ac:dyDescent="0.35">
      <c r="B3" s="4" t="s">
        <v>5</v>
      </c>
      <c r="C3" s="5">
        <v>9061</v>
      </c>
      <c r="D3" s="5">
        <v>194188</v>
      </c>
      <c r="E3" s="18">
        <f t="shared" ref="E3:E22" si="0">C3/D3</f>
        <v>4.6660967722001359E-2</v>
      </c>
    </row>
    <row r="4" spans="2:5" x14ac:dyDescent="0.35">
      <c r="B4" s="8" t="s">
        <v>6</v>
      </c>
      <c r="C4" s="9">
        <v>4372</v>
      </c>
      <c r="D4" s="9">
        <v>206083</v>
      </c>
      <c r="E4" s="17">
        <f t="shared" si="0"/>
        <v>2.1214753279018648E-2</v>
      </c>
    </row>
    <row r="5" spans="2:5" x14ac:dyDescent="0.35">
      <c r="B5" s="8" t="s">
        <v>7</v>
      </c>
      <c r="C5" s="9">
        <v>9191</v>
      </c>
      <c r="D5" s="9">
        <v>195952</v>
      </c>
      <c r="E5" s="17">
        <f t="shared" si="0"/>
        <v>4.6904343920960233E-2</v>
      </c>
    </row>
    <row r="6" spans="2:5" x14ac:dyDescent="0.35">
      <c r="B6" s="8" t="s">
        <v>8</v>
      </c>
      <c r="C6" s="9">
        <v>5603</v>
      </c>
      <c r="D6" s="9">
        <v>190021</v>
      </c>
      <c r="E6" s="17">
        <f t="shared" si="0"/>
        <v>2.94862146815352E-2</v>
      </c>
    </row>
    <row r="7" spans="2:5" x14ac:dyDescent="0.35">
      <c r="B7" s="8" t="s">
        <v>9</v>
      </c>
      <c r="C7" s="9">
        <v>3517</v>
      </c>
      <c r="D7" s="9">
        <v>192565</v>
      </c>
      <c r="E7" s="17">
        <f t="shared" si="0"/>
        <v>1.8263962817749852E-2</v>
      </c>
    </row>
    <row r="8" spans="2:5" x14ac:dyDescent="0.35">
      <c r="B8" s="8" t="s">
        <v>10</v>
      </c>
      <c r="C8" s="9">
        <v>7438</v>
      </c>
      <c r="D8" s="9">
        <v>222285</v>
      </c>
      <c r="E8" s="17">
        <f t="shared" si="0"/>
        <v>3.3461547112940596E-2</v>
      </c>
    </row>
    <row r="9" spans="2:5" x14ac:dyDescent="0.35">
      <c r="B9" s="8" t="s">
        <v>11</v>
      </c>
      <c r="C9" s="9">
        <v>5439</v>
      </c>
      <c r="D9" s="9">
        <v>190032</v>
      </c>
      <c r="E9" s="17">
        <f t="shared" si="0"/>
        <v>2.8621495327102803E-2</v>
      </c>
    </row>
    <row r="10" spans="2:5" x14ac:dyDescent="0.35">
      <c r="B10" s="8" t="s">
        <v>12</v>
      </c>
      <c r="C10" s="9">
        <v>6424</v>
      </c>
      <c r="D10" s="9">
        <v>191531</v>
      </c>
      <c r="E10" s="17">
        <f t="shared" si="0"/>
        <v>3.3540262411828892E-2</v>
      </c>
    </row>
    <row r="11" spans="2:5" x14ac:dyDescent="0.35">
      <c r="B11" s="8" t="s">
        <v>13</v>
      </c>
      <c r="C11" s="9">
        <v>11372</v>
      </c>
      <c r="D11" s="9">
        <v>196196</v>
      </c>
      <c r="E11" s="17">
        <f t="shared" si="0"/>
        <v>5.7962445717547759E-2</v>
      </c>
    </row>
    <row r="12" spans="2:5" x14ac:dyDescent="0.35">
      <c r="B12" s="8" t="s">
        <v>14</v>
      </c>
      <c r="C12" s="9">
        <v>10006</v>
      </c>
      <c r="D12" s="9">
        <v>233996</v>
      </c>
      <c r="E12" s="17">
        <f t="shared" si="0"/>
        <v>4.2761414725038034E-2</v>
      </c>
    </row>
    <row r="13" spans="2:5" x14ac:dyDescent="0.35">
      <c r="B13" s="8" t="s">
        <v>15</v>
      </c>
      <c r="C13" s="9">
        <v>12661</v>
      </c>
      <c r="D13" s="9">
        <v>190960</v>
      </c>
      <c r="E13" s="17">
        <f t="shared" si="0"/>
        <v>6.6301843317972356E-2</v>
      </c>
    </row>
    <row r="14" spans="2:5" x14ac:dyDescent="0.35">
      <c r="B14" s="8" t="s">
        <v>16</v>
      </c>
      <c r="C14" s="9">
        <v>22740</v>
      </c>
      <c r="D14" s="9">
        <v>198980</v>
      </c>
      <c r="E14" s="17">
        <f t="shared" si="0"/>
        <v>0.11428284249673334</v>
      </c>
    </row>
    <row r="15" spans="2:5" x14ac:dyDescent="0.35">
      <c r="B15" s="8" t="s">
        <v>17</v>
      </c>
      <c r="C15" s="9">
        <v>40393</v>
      </c>
      <c r="D15" s="9">
        <v>200466</v>
      </c>
      <c r="E15" s="17">
        <f t="shared" si="0"/>
        <v>0.20149551544900382</v>
      </c>
    </row>
    <row r="16" spans="2:5" x14ac:dyDescent="0.35">
      <c r="B16" s="8" t="s">
        <v>18</v>
      </c>
      <c r="C16" s="9">
        <v>82408</v>
      </c>
      <c r="D16" s="9">
        <v>237356</v>
      </c>
      <c r="E16" s="17">
        <f t="shared" si="0"/>
        <v>0.34719156035659515</v>
      </c>
    </row>
    <row r="17" spans="2:5" x14ac:dyDescent="0.35">
      <c r="B17" s="8" t="s">
        <v>19</v>
      </c>
      <c r="C17" s="9">
        <v>153373</v>
      </c>
      <c r="D17" s="9">
        <v>209962</v>
      </c>
      <c r="E17" s="17">
        <f t="shared" si="0"/>
        <v>0.73047980110686694</v>
      </c>
    </row>
    <row r="18" spans="2:5" x14ac:dyDescent="0.35">
      <c r="B18" s="8" t="s">
        <v>20</v>
      </c>
      <c r="C18" s="9">
        <v>9866925</v>
      </c>
      <c r="D18" s="9">
        <v>363283</v>
      </c>
      <c r="E18" s="22">
        <f t="shared" si="0"/>
        <v>27.160436904562008</v>
      </c>
    </row>
    <row r="19" spans="2:5" x14ac:dyDescent="0.35">
      <c r="B19" s="8" t="s">
        <v>21</v>
      </c>
      <c r="C19" s="9">
        <v>19708776</v>
      </c>
      <c r="D19" s="9">
        <v>506217</v>
      </c>
      <c r="E19" s="22">
        <f t="shared" si="0"/>
        <v>38.933453439927938</v>
      </c>
    </row>
    <row r="20" spans="2:5" x14ac:dyDescent="0.35">
      <c r="B20" s="8" t="s">
        <v>22</v>
      </c>
      <c r="C20" s="9">
        <v>39499128</v>
      </c>
      <c r="D20" s="9">
        <v>733290</v>
      </c>
      <c r="E20" s="22">
        <f t="shared" si="0"/>
        <v>53.865630241787017</v>
      </c>
    </row>
    <row r="21" spans="2:5" x14ac:dyDescent="0.35">
      <c r="B21" s="8" t="s">
        <v>23</v>
      </c>
      <c r="C21" s="9">
        <v>78572399</v>
      </c>
      <c r="D21" s="9">
        <v>1306625</v>
      </c>
      <c r="E21" s="22">
        <f t="shared" si="0"/>
        <v>60.133855543863007</v>
      </c>
    </row>
    <row r="22" spans="2:5" ht="15" thickBot="1" x14ac:dyDescent="0.4">
      <c r="B22" s="13" t="s">
        <v>24</v>
      </c>
      <c r="C22" s="14">
        <v>156124029</v>
      </c>
      <c r="D22" s="14">
        <v>1911555</v>
      </c>
      <c r="E22" s="23">
        <f t="shared" si="0"/>
        <v>81.67383569920824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88AE-D088-4508-955B-E78380AAAB23}">
  <dimension ref="B1:E23"/>
  <sheetViews>
    <sheetView workbookViewId="0">
      <selection activeCell="D22" sqref="D22"/>
    </sheetView>
  </sheetViews>
  <sheetFormatPr defaultRowHeight="14.5" x14ac:dyDescent="0.35"/>
  <cols>
    <col min="2" max="2" width="10.08984375" bestFit="1" customWidth="1"/>
    <col min="3" max="3" width="11.1796875" bestFit="1" customWidth="1"/>
    <col min="4" max="5" width="27.6328125" bestFit="1" customWidth="1"/>
  </cols>
  <sheetData>
    <row r="1" spans="2:5" ht="15" thickBot="1" x14ac:dyDescent="0.4"/>
    <row r="2" spans="2:5" ht="15" thickBot="1" x14ac:dyDescent="0.4">
      <c r="B2" s="29"/>
      <c r="C2" s="30"/>
      <c r="D2" s="31" t="s">
        <v>51</v>
      </c>
      <c r="E2" s="28" t="s">
        <v>50</v>
      </c>
    </row>
    <row r="3" spans="2:5" x14ac:dyDescent="0.35">
      <c r="B3" s="5" t="s">
        <v>28</v>
      </c>
      <c r="C3" s="5" t="s">
        <v>29</v>
      </c>
      <c r="D3" s="27">
        <v>7.0508498477457103E-5</v>
      </c>
      <c r="E3" s="27">
        <v>6.2775624225113393E-5</v>
      </c>
    </row>
    <row r="4" spans="2:5" x14ac:dyDescent="0.35">
      <c r="B4" s="9" t="s">
        <v>30</v>
      </c>
      <c r="C4" s="9" t="s">
        <v>29</v>
      </c>
      <c r="D4" s="26">
        <v>7.0911613106238805E-5</v>
      </c>
      <c r="E4" s="26">
        <v>6.7898457856275902E-5</v>
      </c>
    </row>
    <row r="5" spans="2:5" x14ac:dyDescent="0.35">
      <c r="B5" s="9" t="s">
        <v>31</v>
      </c>
      <c r="C5" s="9" t="s">
        <v>29</v>
      </c>
      <c r="D5" s="26">
        <v>7.4610161904051301E-5</v>
      </c>
      <c r="E5" s="26">
        <v>7.4634524064969295E-5</v>
      </c>
    </row>
    <row r="6" spans="2:5" x14ac:dyDescent="0.35">
      <c r="B6" s="9" t="s">
        <v>32</v>
      </c>
      <c r="C6" s="9" t="s">
        <v>29</v>
      </c>
      <c r="D6" s="26">
        <v>7.1766579201148201E-5</v>
      </c>
      <c r="E6" s="26">
        <v>7.7634477471445E-5</v>
      </c>
    </row>
    <row r="7" spans="2:5" x14ac:dyDescent="0.35">
      <c r="B7" s="9" t="s">
        <v>33</v>
      </c>
      <c r="C7" s="9" t="s">
        <v>29</v>
      </c>
      <c r="D7" s="26">
        <v>7.1555070571188299E-5</v>
      </c>
      <c r="E7" s="26">
        <v>6.2411989343152794E-5</v>
      </c>
    </row>
    <row r="8" spans="2:5" x14ac:dyDescent="0.35">
      <c r="B8" s="9" t="s">
        <v>34</v>
      </c>
      <c r="C8" s="9" t="s">
        <v>29</v>
      </c>
      <c r="D8" s="9">
        <v>1.3762671334506001E-4</v>
      </c>
      <c r="E8" s="9">
        <v>1.5327579104677699E-4</v>
      </c>
    </row>
    <row r="9" spans="2:5" x14ac:dyDescent="0.35">
      <c r="B9" s="9" t="s">
        <v>35</v>
      </c>
      <c r="C9" s="9" t="s">
        <v>29</v>
      </c>
      <c r="D9" s="9">
        <v>1.4406886491743001E-4</v>
      </c>
      <c r="E9" s="9">
        <v>1.58579130986362E-4</v>
      </c>
    </row>
    <row r="10" spans="2:5" x14ac:dyDescent="0.35">
      <c r="B10" s="9" t="s">
        <v>36</v>
      </c>
      <c r="C10" s="9" t="s">
        <v>29</v>
      </c>
      <c r="D10" s="9">
        <v>2.8755644418484403E-4</v>
      </c>
      <c r="E10" s="9">
        <v>3.0674405563570298E-4</v>
      </c>
    </row>
    <row r="11" spans="2:5" x14ac:dyDescent="0.35">
      <c r="B11" s="9" t="s">
        <v>37</v>
      </c>
      <c r="C11" s="9" t="s">
        <v>29</v>
      </c>
      <c r="D11" s="9">
        <v>5.1649766163753901E-4</v>
      </c>
      <c r="E11" s="9">
        <v>6.1184298579376999E-4</v>
      </c>
    </row>
    <row r="12" spans="2:5" x14ac:dyDescent="0.35">
      <c r="B12" s="9" t="s">
        <v>38</v>
      </c>
      <c r="C12" s="9" t="s">
        <v>29</v>
      </c>
      <c r="D12" s="9">
        <v>1.1458291371816999E-3</v>
      </c>
      <c r="E12" s="9">
        <v>1.20563634993595E-3</v>
      </c>
    </row>
    <row r="13" spans="2:5" x14ac:dyDescent="0.35">
      <c r="B13" s="9" t="s">
        <v>39</v>
      </c>
      <c r="C13" s="9" t="s">
        <v>29</v>
      </c>
      <c r="D13" s="9">
        <v>2.2365598913171602E-3</v>
      </c>
      <c r="E13" s="9">
        <v>2.42105561807847E-3</v>
      </c>
    </row>
    <row r="14" spans="2:5" x14ac:dyDescent="0.35">
      <c r="B14" s="9" t="s">
        <v>40</v>
      </c>
      <c r="C14" s="9" t="s">
        <v>29</v>
      </c>
      <c r="D14" s="9">
        <v>4.5866423001294397E-3</v>
      </c>
      <c r="E14" s="9">
        <v>5.0247557546702201E-3</v>
      </c>
    </row>
    <row r="15" spans="2:5" x14ac:dyDescent="0.35">
      <c r="B15" s="9" t="s">
        <v>41</v>
      </c>
      <c r="C15" s="9" t="s">
        <v>29</v>
      </c>
      <c r="D15" s="9">
        <v>9.3985911291617902E-3</v>
      </c>
      <c r="E15" s="9">
        <v>9.8559624241432494E-3</v>
      </c>
    </row>
    <row r="16" spans="2:5" x14ac:dyDescent="0.35">
      <c r="B16" s="9" t="s">
        <v>42</v>
      </c>
      <c r="C16" s="9" t="s">
        <v>29</v>
      </c>
      <c r="D16" s="9">
        <v>1.83223590037217E-2</v>
      </c>
      <c r="E16" s="9">
        <v>1.8702342358796399E-2</v>
      </c>
    </row>
    <row r="17" spans="2:5" x14ac:dyDescent="0.35">
      <c r="B17" s="9" t="s">
        <v>43</v>
      </c>
      <c r="C17" s="9" t="s">
        <v>29</v>
      </c>
      <c r="D17" s="9">
        <v>3.5920056826652398E-2</v>
      </c>
      <c r="E17" s="9">
        <v>3.9162069394116102E-2</v>
      </c>
    </row>
    <row r="18" spans="2:5" x14ac:dyDescent="0.35">
      <c r="B18" s="9" t="s">
        <v>44</v>
      </c>
      <c r="C18" s="9" t="s">
        <v>29</v>
      </c>
      <c r="D18" s="9">
        <v>1.3421154353207401</v>
      </c>
      <c r="E18" s="9">
        <v>1.37812042466952</v>
      </c>
    </row>
    <row r="19" spans="2:5" x14ac:dyDescent="0.35">
      <c r="B19" s="9" t="s">
        <v>45</v>
      </c>
      <c r="C19" s="9" t="s">
        <v>29</v>
      </c>
      <c r="D19" s="9">
        <v>2.18211482273813</v>
      </c>
      <c r="E19" s="9">
        <v>2.0434302195285898</v>
      </c>
    </row>
    <row r="20" spans="2:5" x14ac:dyDescent="0.35">
      <c r="B20" s="9" t="s">
        <v>46</v>
      </c>
      <c r="C20" s="9" t="s">
        <v>29</v>
      </c>
      <c r="D20" s="9">
        <v>3.1607319947792099</v>
      </c>
      <c r="E20" s="9">
        <v>2.8247438788182402</v>
      </c>
    </row>
    <row r="21" spans="2:5" x14ac:dyDescent="0.35">
      <c r="B21" s="9" t="s">
        <v>47</v>
      </c>
      <c r="C21" s="9" t="s">
        <v>29</v>
      </c>
      <c r="D21" s="9">
        <v>4.0271723214860096</v>
      </c>
      <c r="E21" s="9">
        <v>3.5798297954421501</v>
      </c>
    </row>
    <row r="22" spans="2:5" x14ac:dyDescent="0.35">
      <c r="B22" s="9" t="s">
        <v>48</v>
      </c>
      <c r="C22" s="9" t="s">
        <v>29</v>
      </c>
      <c r="D22" s="9">
        <v>4.8589134732399701</v>
      </c>
      <c r="E22" s="9">
        <v>4.2646927539031703</v>
      </c>
    </row>
    <row r="23" spans="2:5" x14ac:dyDescent="0.35">
      <c r="B23" s="9" t="s">
        <v>49</v>
      </c>
      <c r="C23" s="9" t="s">
        <v>29</v>
      </c>
      <c r="D23" s="9">
        <v>4.8453913490502503</v>
      </c>
      <c r="E23" s="9">
        <v>4.2827054648527501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AES-128</vt:lpstr>
      <vt:lpstr>AES-256</vt:lpstr>
      <vt:lpstr>Through_Put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Madhusudhan Swargam</dc:creator>
  <cp:lastModifiedBy>Madhusudhan Swargam</cp:lastModifiedBy>
  <dcterms:created xsi:type="dcterms:W3CDTF">2015-06-05T18:17:20Z</dcterms:created>
  <dcterms:modified xsi:type="dcterms:W3CDTF">2025-12-08T01:26:32Z</dcterms:modified>
</cp:coreProperties>
</file>